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sebastian\Desktop\PRODUCCION\00. ACCIÓN PROXIMA\03. CUANTI\Curso Cuanti 2\Curso UAH\2025\metodoscuanti2\evaluaciones\trabajos\"/>
    </mc:Choice>
  </mc:AlternateContent>
  <xr:revisionPtr revIDLastSave="0" documentId="13_ncr:1_{CFA3EA3F-23EA-4E37-A6D9-04123D8ACCAA}" xr6:coauthVersionLast="47" xr6:coauthVersionMax="47" xr10:uidLastSave="{00000000-0000-0000-0000-000000000000}"/>
  <bookViews>
    <workbookView xWindow="285" yWindow="667" windowWidth="20220" windowHeight="5341" activeTab="1" xr2:uid="{131001DE-E294-4C02-98C9-1C5D6B184FBE}"/>
  </bookViews>
  <sheets>
    <sheet name="Hoja1" sheetId="1" r:id="rId1"/>
    <sheet name="Hoja2" sheetId="2" r:id="rId2"/>
  </sheets>
  <definedNames>
    <definedName name="_xlnm._FilterDatabase" localSheetId="0" hidden="1">Hoja1!$A$1:$W$1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2" l="1"/>
  <c r="F2" i="2" s="1"/>
  <c r="G2" i="2" s="1"/>
  <c r="F7" i="2"/>
  <c r="G7" i="2" s="1"/>
  <c r="F6" i="2"/>
  <c r="G6" i="2" s="1"/>
  <c r="F5" i="2"/>
  <c r="G5" i="2"/>
  <c r="F4" i="2"/>
  <c r="G4" i="2" s="1"/>
  <c r="F3" i="2"/>
  <c r="H3" i="2"/>
  <c r="G3" i="2"/>
</calcChain>
</file>

<file path=xl/sharedStrings.xml><?xml version="1.0" encoding="utf-8"?>
<sst xmlns="http://schemas.openxmlformats.org/spreadsheetml/2006/main" count="69" uniqueCount="68">
  <si>
    <t>Grupo</t>
  </si>
  <si>
    <t>P1</t>
  </si>
  <si>
    <t>A1</t>
  </si>
  <si>
    <t>P2</t>
  </si>
  <si>
    <t>A2</t>
  </si>
  <si>
    <t>P3</t>
  </si>
  <si>
    <t>A3</t>
  </si>
  <si>
    <t>P4</t>
  </si>
  <si>
    <t>A4</t>
  </si>
  <si>
    <t xml:space="preserve">P5 </t>
  </si>
  <si>
    <t>A5</t>
  </si>
  <si>
    <t>P6</t>
  </si>
  <si>
    <t>A6</t>
  </si>
  <si>
    <t>P7</t>
  </si>
  <si>
    <t>A7</t>
  </si>
  <si>
    <t>P8</t>
  </si>
  <si>
    <t>A8</t>
  </si>
  <si>
    <t>P9</t>
  </si>
  <si>
    <t>A9</t>
  </si>
  <si>
    <t>P10</t>
  </si>
  <si>
    <t>A10</t>
  </si>
  <si>
    <t>Tiempo</t>
  </si>
  <si>
    <t>5- Cuidado Sexual</t>
  </si>
  <si>
    <t>0- Sociodemográfico</t>
  </si>
  <si>
    <t>1- RRSS</t>
  </si>
  <si>
    <t>2-Música</t>
  </si>
  <si>
    <t xml:space="preserve">RS_06. ¿Siente que las redes sociales afectan en sus relaciones interpersonales en la vida real?: Me suena una pregunta demasiado abstracta, es preferible dar ejemplos concretos, cómo: Cuán amenudo ha sentido o a tenido problemas o discusiones con sus amistades o familiares relativo al uso de Redes Sociales en el último mes, por ejemplo, al no contestar, al no entenderse, etcétera. Ninguna Vez, Una vez al mes, Más de una vez al mes. </t>
  </si>
  <si>
    <t xml:space="preserve">RS_10. ¿Ha experimentado problemáticas en su vida personal debido al uso de redes sociales?: También es una pregunta muy abstracta y amplia. Puede delimitar en tiempo y en lo que refiere a vida personal. </t>
  </si>
  <si>
    <t>PM_04. En su vida, ¿ha ido alguna vez a ver algún recital, concierto, tocata o espectáculo de música en vivo?</t>
  </si>
  <si>
    <t>Alternativas mezclan algo numérico con algo aproximativo: Nunca, Una o Dos veces, Ocasionalmente, Frentemente</t>
  </si>
  <si>
    <t>PM_07. ¿Realiza alguna forma de creación musical?: Se podría explicar a que refiere con crear música, por ejemplo definir que es componer y producir canciones. Esto es hacer letras, crear la música, hacer beats, posproducirla. No simplemente tocar o interpretar música de otros, sin crear música propia. [se sugiere adelantar la pregunta sobre tocar G0]</t>
  </si>
  <si>
    <t>3- Docencia</t>
  </si>
  <si>
    <t>4- Seguridad</t>
  </si>
  <si>
    <t xml:space="preserve">CD_07. ¿Considera relevante que el docente tenga disponibilidad horaria fuera de clases para responder a las dudas de los estudiantes? /  muy parecida a/ CD_08. ¿Qué tan importante es para usted que el docente sea accesible para comunicarse con los estudiantes fuera del aula (por correo, reuniones virtuales u otros medios)? </t>
  </si>
  <si>
    <t xml:space="preserve">PM_08. ¿En qué lugar suele crear música? (Debe indicar que se contesta sólo si la persona ha creado música: </t>
  </si>
  <si>
    <t>0-diseño y estructura</t>
  </si>
  <si>
    <t>1) preguntas filtro: https://www.youtube.com/watch?v=DpSyTyf8xoM</t>
  </si>
  <si>
    <t>1) Considerar personas que no tienen vida sexual activa o no han iniciado su vida sexual; 2) considere sólo 10 preguntas</t>
  </si>
  <si>
    <t>AS_04. ¿Conoce alguna de las siguientes formas de infecciones de transmisión sexual (ITS)?  (Redacción)</t>
  </si>
  <si>
    <t xml:space="preserve">PM_10. ¿En qué lugar suele tocar música?: Especificar si es que toca música, contestar), esta pregunta debería ser múltiple; 2) se sugiere poner antes esta pregunta. </t>
  </si>
  <si>
    <r>
      <t xml:space="preserve">CD_09: ¿Considera que un docente debe </t>
    </r>
    <r>
      <rPr>
        <b/>
        <sz val="8"/>
        <color theme="1"/>
        <rFont val="Calibri"/>
        <family val="2"/>
        <scheme val="minor"/>
      </rPr>
      <t xml:space="preserve">ceñir </t>
    </r>
    <r>
      <rPr>
        <sz val="8"/>
        <color theme="1"/>
        <rFont val="Calibri"/>
        <family val="2"/>
        <scheme val="minor"/>
      </rPr>
      <t>las clases a la programación pautada al principio de semestre? [Se sugiere cambiar la palabra ceñir)</t>
    </r>
  </si>
  <si>
    <t>1) Exhaustividad de alternativas (e.g. Kpop, r&amp;b, trap)</t>
  </si>
  <si>
    <t>1)  Sólo deben ser 10; hay preguntas similiares que pueden fusionarse CD12 y CD13, por ejemplo;  2) Evitar el response set; que las respuestas siempre tenga misma orientación y cantidad de alternativas (GRRSS: variar formato de pregunta); 3) lenguaje inclusivo: él o la docente; 4</t>
  </si>
  <si>
    <t>AS_12. ¿Considera que las prácticas de autocuidado sexual que utiliza son efectivas para prevenir infecciones de transmisión sexual y embarazos no deseados? (Es algo evidente, puede reformularla, dandole un costo)</t>
  </si>
  <si>
    <t>24:00 (porqué 45 J. Kiessling)</t>
  </si>
  <si>
    <t>Además apunta a si o no, más que al grado como está en las alternati as</t>
  </si>
  <si>
    <t>1) atraso en la entrega del informe de un día; 2) Agregar una pregunta sobre tipos de uso; 3) Pareciera exisistir un sesgo negativo ante las RRSS (¿Qué pasa si alguien las usa para trabajar?)</t>
  </si>
  <si>
    <t xml:space="preserve"> 1) preguntas filtro; 2) explicitación de definiciones; 3) exhaustividad de géneros; 4) no es necesario ser tan explícito sobre los objetivos de su investigación: El objetivo de esta investigación es analizar y describir las prácticas musicales de los
estudiantes de antropología de la Universidad Alberto Hurtado, y su relación con los factores
de identidad de género y clase socioeconómica.</t>
  </si>
  <si>
    <t>Integrar alternativa "Sin Estudios"</t>
  </si>
  <si>
    <t>RS_01. ¿Con qué frecuencia usa las redes sociales en actividades que no son laborales ni académicas?  (Delimitar el tiempo, al dia, a la semana?)</t>
  </si>
  <si>
    <t>RS_03. ¿Cuál es la red social en la que pasa más tiempo? : sumar cuál es la segunda RRSS</t>
  </si>
  <si>
    <t>Sumar la opción: no uso RRSS</t>
  </si>
  <si>
    <t>a) se podría incluir la alternativa en casa; b) En eventos de amigues vs. En reuniones de amigos y familiares ??</t>
  </si>
  <si>
    <t xml:space="preserve">1) pertenencia a pueblos originarios; 2) Nacionalidad (extranjero); 3) medio de transporte privilegiado; 4) ¿Es originario de la región metropolitana, esto es vivió la mayor parte de su infancia y adolecencia fuera de esta región?; 5) aclarar niveles educativos ( Técnico nivel superior (como técnico en enfermería, técnico en administración, etc.);  Profesional (carreras universitarias como ingeniería, derecho, etc.)
</t>
  </si>
  <si>
    <t>1) Inicialmente sólo entregaron 5 preguntas; b) diferencia día y noche</t>
  </si>
  <si>
    <t>0-Canala, Castro, Durán</t>
  </si>
  <si>
    <t>1-Huineo, Verdugo, Salazar, Leiva</t>
  </si>
  <si>
    <t>3-Bickell, Campos, Kiessling, Mancilla, Nuñez</t>
  </si>
  <si>
    <t>4-Catejo, Farías, Fis, Lagos, Sanchez, Valenzuela, Valle</t>
  </si>
  <si>
    <t>5-Araya, La Rivera, Muñoz, Navarro, Parker, Rudman</t>
  </si>
  <si>
    <t>sección tiempos</t>
  </si>
  <si>
    <t>sessión retroalimentación</t>
  </si>
  <si>
    <t>sección cuestionario</t>
  </si>
  <si>
    <t>sección indice</t>
  </si>
  <si>
    <t>total</t>
  </si>
  <si>
    <t>nota</t>
  </si>
  <si>
    <t>atraso</t>
  </si>
  <si>
    <t>2-Jorquera, Salazar, Diaz, González, González, Bustamante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</si>
</sst>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theme="1"/>
      <name val="Calibri"/>
      <family val="2"/>
      <scheme val="minor"/>
    </font>
    <font>
      <sz val="8"/>
      <name val="Calibri"/>
      <family val="2"/>
      <scheme val="minor"/>
    </font>
    <font>
      <sz val="6"/>
      <color rgb="FF202124"/>
      <name val="Docs-Roboto"/>
    </font>
    <font>
      <sz val="8"/>
      <color theme="1"/>
      <name val="Calibri"/>
      <family val="2"/>
      <scheme val="minor"/>
    </font>
    <font>
      <sz val="8"/>
      <color rgb="FF202124"/>
      <name val="Docs-Roboto"/>
    </font>
    <font>
      <b/>
      <sz val="8"/>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3" fillId="0" borderId="0" xfId="0" applyFont="1" applyAlignment="1">
      <alignment horizontal="left" vertical="top" wrapText="1"/>
    </xf>
    <xf numFmtId="0" fontId="3" fillId="0" borderId="0" xfId="0" applyFont="1" applyAlignment="1">
      <alignment wrapText="1"/>
    </xf>
    <xf numFmtId="20" fontId="3" fillId="0" borderId="0" xfId="0" applyNumberFormat="1" applyFont="1" applyAlignment="1">
      <alignment wrapText="1"/>
    </xf>
    <xf numFmtId="0" fontId="2" fillId="0" borderId="0" xfId="0" applyFont="1" applyAlignment="1">
      <alignment wrapText="1"/>
    </xf>
    <xf numFmtId="0" fontId="3" fillId="0" borderId="0" xfId="0" applyFont="1" applyAlignment="1">
      <alignment vertical="top" wrapText="1"/>
    </xf>
    <xf numFmtId="20" fontId="3" fillId="0" borderId="0" xfId="0" applyNumberFormat="1" applyFont="1" applyAlignment="1">
      <alignment vertical="top" wrapText="1"/>
    </xf>
    <xf numFmtId="0" fontId="4"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164" fontId="0" fillId="0" borderId="0" xfId="0" applyNumberFormat="1"/>
    <xf numFmtId="0" fontId="0" fillId="2" borderId="0" xfId="0" applyFill="1"/>
    <xf numFmtId="164"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1278-1577-4240-9DEA-C045D773234E}">
  <dimension ref="A1:X9"/>
  <sheetViews>
    <sheetView zoomScaleNormal="50" workbookViewId="0">
      <pane xSplit="1" ySplit="1" topLeftCell="B2" activePane="bottomRight" state="frozenSplit"/>
      <selection pane="topRight" activeCell="R1" sqref="R1"/>
      <selection pane="bottomLeft" activeCell="A10" sqref="A10"/>
      <selection pane="bottomRight" activeCell="X8" sqref="X8"/>
    </sheetView>
  </sheetViews>
  <sheetFormatPr baseColWidth="10" defaultRowHeight="14.25"/>
  <cols>
    <col min="1" max="1" width="16.86328125" bestFit="1" customWidth="1"/>
    <col min="2" max="2" width="6.59765625" bestFit="1" customWidth="1"/>
    <col min="3" max="3" width="15.06640625" style="8" customWidth="1"/>
    <col min="4" max="23" width="9.6640625" style="8" customWidth="1"/>
  </cols>
  <sheetData>
    <row r="1" spans="1:24">
      <c r="A1" s="2" t="s">
        <v>0</v>
      </c>
      <c r="B1" s="2" t="s">
        <v>21</v>
      </c>
      <c r="C1" s="5"/>
      <c r="D1" s="5" t="s">
        <v>1</v>
      </c>
      <c r="E1" s="5" t="s">
        <v>2</v>
      </c>
      <c r="F1" s="5" t="s">
        <v>3</v>
      </c>
      <c r="G1" s="5" t="s">
        <v>4</v>
      </c>
      <c r="H1" s="5" t="s">
        <v>5</v>
      </c>
      <c r="I1" s="5" t="s">
        <v>6</v>
      </c>
      <c r="J1" s="5" t="s">
        <v>7</v>
      </c>
      <c r="K1" s="5" t="s">
        <v>8</v>
      </c>
      <c r="L1" s="5" t="s">
        <v>9</v>
      </c>
      <c r="M1" s="5" t="s">
        <v>10</v>
      </c>
      <c r="N1" s="5" t="s">
        <v>11</v>
      </c>
      <c r="O1" s="5" t="s">
        <v>12</v>
      </c>
      <c r="P1" s="5" t="s">
        <v>13</v>
      </c>
      <c r="Q1" s="8" t="s">
        <v>14</v>
      </c>
      <c r="R1" s="8" t="s">
        <v>15</v>
      </c>
      <c r="S1" s="8" t="s">
        <v>16</v>
      </c>
      <c r="T1" s="8" t="s">
        <v>17</v>
      </c>
      <c r="U1" s="8" t="s">
        <v>18</v>
      </c>
      <c r="V1" s="8" t="s">
        <v>19</v>
      </c>
      <c r="W1" s="8" t="s">
        <v>20</v>
      </c>
    </row>
    <row r="2" spans="1:24" ht="42">
      <c r="A2" s="5" t="s">
        <v>35</v>
      </c>
      <c r="B2" s="2"/>
      <c r="C2" s="5" t="s">
        <v>36</v>
      </c>
      <c r="D2" s="5"/>
      <c r="E2" s="5"/>
      <c r="F2" s="5"/>
      <c r="G2" s="5"/>
      <c r="H2" s="5"/>
      <c r="I2" s="5"/>
      <c r="J2" s="5"/>
      <c r="K2" s="5"/>
      <c r="L2" s="5"/>
      <c r="M2" s="5"/>
      <c r="N2" s="5"/>
      <c r="O2" s="5"/>
      <c r="P2" s="5"/>
      <c r="Q2" s="5"/>
      <c r="R2" s="5"/>
      <c r="S2" s="5"/>
      <c r="T2" s="5"/>
      <c r="U2" s="5"/>
      <c r="V2" s="5"/>
      <c r="W2" s="5"/>
    </row>
    <row r="3" spans="1:24" ht="210">
      <c r="A3" s="2" t="s">
        <v>23</v>
      </c>
      <c r="B3" s="3">
        <v>0.43333333333333335</v>
      </c>
      <c r="C3" s="6" t="s">
        <v>53</v>
      </c>
      <c r="D3" s="5"/>
      <c r="E3" s="5"/>
      <c r="F3" s="5"/>
      <c r="G3" s="5"/>
      <c r="H3" s="5"/>
      <c r="I3" s="5"/>
      <c r="J3" s="5"/>
      <c r="K3" s="5"/>
      <c r="L3" s="5"/>
      <c r="M3" s="5"/>
      <c r="N3" s="5"/>
      <c r="O3" s="5"/>
      <c r="P3" s="5"/>
      <c r="Q3" s="5" t="s">
        <v>48</v>
      </c>
      <c r="R3" s="5"/>
      <c r="S3" s="5"/>
      <c r="T3" s="5"/>
      <c r="U3" s="5"/>
      <c r="V3" s="5"/>
      <c r="W3" s="5"/>
    </row>
    <row r="4" spans="1:24" ht="357">
      <c r="A4" s="2" t="s">
        <v>24</v>
      </c>
      <c r="B4" s="3">
        <v>0.41666666666666669</v>
      </c>
      <c r="C4" s="6" t="s">
        <v>46</v>
      </c>
      <c r="D4" s="9" t="s">
        <v>49</v>
      </c>
      <c r="F4" s="5"/>
      <c r="G4" s="5"/>
      <c r="H4" s="5" t="s">
        <v>50</v>
      </c>
      <c r="I4" s="5" t="s">
        <v>51</v>
      </c>
      <c r="J4" s="5"/>
      <c r="K4" s="5"/>
      <c r="L4" s="5"/>
      <c r="M4" s="5"/>
      <c r="N4" s="1" t="s">
        <v>26</v>
      </c>
      <c r="O4" s="1" t="s">
        <v>45</v>
      </c>
      <c r="P4" s="1"/>
      <c r="Q4" s="1"/>
      <c r="R4" s="1"/>
      <c r="S4" s="1"/>
      <c r="T4" s="1"/>
      <c r="U4" s="1"/>
      <c r="V4" s="1" t="s">
        <v>27</v>
      </c>
      <c r="W4" s="5"/>
    </row>
    <row r="5" spans="1:24" ht="324">
      <c r="A5" s="2" t="s">
        <v>25</v>
      </c>
      <c r="B5" s="3">
        <v>0.41666666666666669</v>
      </c>
      <c r="C5" s="5" t="s">
        <v>47</v>
      </c>
      <c r="D5" s="5"/>
      <c r="E5" s="5" t="s">
        <v>41</v>
      </c>
      <c r="F5" s="5"/>
      <c r="G5" s="5"/>
      <c r="H5" s="5"/>
      <c r="I5" s="5"/>
      <c r="J5" s="7" t="s">
        <v>28</v>
      </c>
      <c r="K5" s="5" t="s">
        <v>29</v>
      </c>
      <c r="L5" s="5"/>
      <c r="M5" s="5"/>
      <c r="N5" s="5"/>
      <c r="O5" s="5"/>
      <c r="P5" s="7" t="s">
        <v>30</v>
      </c>
      <c r="Q5" s="5"/>
      <c r="R5" s="7" t="s">
        <v>34</v>
      </c>
      <c r="S5" s="5"/>
      <c r="T5" s="5"/>
      <c r="U5" s="5"/>
      <c r="V5" s="7" t="s">
        <v>39</v>
      </c>
      <c r="W5" s="5" t="s">
        <v>52</v>
      </c>
    </row>
    <row r="6" spans="1:24" ht="313.89999999999998">
      <c r="A6" s="2" t="s">
        <v>31</v>
      </c>
      <c r="B6" s="3">
        <v>0.5</v>
      </c>
      <c r="C6" s="5" t="s">
        <v>42</v>
      </c>
      <c r="D6" s="5"/>
      <c r="E6" s="5"/>
      <c r="F6" s="5"/>
      <c r="G6" s="5"/>
      <c r="H6" s="5"/>
      <c r="I6" s="5"/>
      <c r="J6" s="7"/>
      <c r="K6" s="5"/>
      <c r="L6" s="5"/>
      <c r="M6" s="5"/>
      <c r="N6" s="5"/>
      <c r="O6" s="5"/>
      <c r="P6" s="7"/>
      <c r="Q6" s="7" t="s">
        <v>33</v>
      </c>
      <c r="R6" s="7"/>
      <c r="S6" s="5"/>
      <c r="T6" s="5" t="s">
        <v>40</v>
      </c>
      <c r="U6" s="5"/>
      <c r="V6" s="7"/>
      <c r="W6" s="5"/>
    </row>
    <row r="7" spans="1:24" ht="42.75">
      <c r="A7" s="2" t="s">
        <v>32</v>
      </c>
      <c r="B7" s="2" t="s">
        <v>44</v>
      </c>
      <c r="C7" s="5" t="s">
        <v>54</v>
      </c>
      <c r="D7" s="5"/>
      <c r="E7" s="5"/>
      <c r="F7" s="5"/>
      <c r="G7" s="5"/>
      <c r="H7" s="5"/>
      <c r="I7" s="5"/>
      <c r="J7" s="5"/>
      <c r="K7" s="5"/>
      <c r="L7" s="5"/>
      <c r="M7" s="5"/>
      <c r="N7" s="5"/>
      <c r="O7" s="5"/>
      <c r="P7" s="5"/>
      <c r="Q7" s="5"/>
      <c r="R7" s="5"/>
      <c r="S7" s="5"/>
      <c r="T7" s="5"/>
      <c r="U7" s="5"/>
      <c r="V7" s="5"/>
      <c r="W7" s="5"/>
    </row>
    <row r="8" spans="1:24" ht="91.9">
      <c r="A8" s="2" t="s">
        <v>22</v>
      </c>
      <c r="B8" s="3">
        <v>0.91666666666666663</v>
      </c>
      <c r="C8" s="5" t="s">
        <v>37</v>
      </c>
      <c r="D8" s="5"/>
      <c r="E8" s="5"/>
      <c r="F8" s="5"/>
      <c r="G8" s="5"/>
      <c r="H8" s="5"/>
      <c r="I8" s="5"/>
      <c r="J8" s="4" t="s">
        <v>38</v>
      </c>
      <c r="K8" s="5"/>
      <c r="L8" s="5"/>
      <c r="M8" s="5"/>
      <c r="N8" s="5"/>
      <c r="O8" s="5"/>
      <c r="P8" s="5"/>
      <c r="Q8" s="5"/>
      <c r="R8" s="5"/>
      <c r="S8" s="5"/>
      <c r="T8" s="5"/>
      <c r="U8" s="5"/>
      <c r="V8" s="5"/>
      <c r="W8" s="5"/>
      <c r="X8" s="4" t="s">
        <v>43</v>
      </c>
    </row>
    <row r="9" spans="1:24">
      <c r="B9" s="2"/>
      <c r="C9" s="5"/>
      <c r="D9" s="5"/>
      <c r="E9" s="5"/>
      <c r="F9" s="5"/>
      <c r="G9" s="5"/>
      <c r="H9" s="5"/>
      <c r="I9" s="5"/>
      <c r="J9" s="5"/>
      <c r="K9" s="5"/>
      <c r="L9" s="5"/>
      <c r="M9" s="5"/>
      <c r="N9" s="5"/>
      <c r="O9" s="5"/>
      <c r="P9" s="5"/>
    </row>
  </sheetData>
  <autoFilter ref="A1:W1" xr:uid="{F8C81278-1577-4240-9DEA-C045D773234E}"/>
  <phoneticPr fontId="1" type="noConversion"/>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1C75E-EE71-47C2-9197-CC9A2298112A}">
  <dimension ref="A1:H7"/>
  <sheetViews>
    <sheetView tabSelected="1" zoomScale="87" workbookViewId="0">
      <selection activeCell="D3" sqref="D3"/>
    </sheetView>
  </sheetViews>
  <sheetFormatPr baseColWidth="10" defaultRowHeight="14.25"/>
  <cols>
    <col min="1" max="1" width="43" bestFit="1" customWidth="1"/>
    <col min="2" max="2" width="13.3984375" bestFit="1" customWidth="1"/>
    <col min="3" max="3" width="21.1328125" bestFit="1" customWidth="1"/>
    <col min="4" max="4" width="16.86328125" bestFit="1" customWidth="1"/>
    <col min="5" max="5" width="11.796875" bestFit="1" customWidth="1"/>
  </cols>
  <sheetData>
    <row r="1" spans="1:8">
      <c r="A1" t="s">
        <v>0</v>
      </c>
      <c r="B1" t="s">
        <v>60</v>
      </c>
      <c r="C1" t="s">
        <v>61</v>
      </c>
      <c r="D1" t="s">
        <v>62</v>
      </c>
      <c r="E1" t="s">
        <v>63</v>
      </c>
      <c r="F1" t="s">
        <v>64</v>
      </c>
      <c r="G1" t="s">
        <v>65</v>
      </c>
      <c r="H1" t="s">
        <v>66</v>
      </c>
    </row>
    <row r="2" spans="1:8">
      <c r="A2" t="s">
        <v>55</v>
      </c>
      <c r="B2">
        <v>100</v>
      </c>
      <c r="C2">
        <v>100</v>
      </c>
      <c r="D2">
        <v>90</v>
      </c>
      <c r="E2">
        <f>AVERAGE(B2:D2)</f>
        <v>96.666666666666671</v>
      </c>
      <c r="F2">
        <f t="shared" ref="F2:F7" si="0">(B2*0.1)+(C2*0.2)+((D2+E2)/2*0.7)</f>
        <v>95.333333333333343</v>
      </c>
      <c r="G2" s="10">
        <f t="shared" ref="G2:G7" si="1">F2*7/100</f>
        <v>6.6733333333333338</v>
      </c>
    </row>
    <row r="3" spans="1:8">
      <c r="A3" t="s">
        <v>56</v>
      </c>
      <c r="B3">
        <v>100</v>
      </c>
      <c r="C3">
        <v>100</v>
      </c>
      <c r="D3">
        <v>70</v>
      </c>
      <c r="E3">
        <v>75</v>
      </c>
      <c r="F3">
        <f t="shared" si="0"/>
        <v>80.75</v>
      </c>
      <c r="G3" s="10">
        <f t="shared" si="1"/>
        <v>5.6524999999999999</v>
      </c>
      <c r="H3" s="10">
        <f>G3-0.25</f>
        <v>5.4024999999999999</v>
      </c>
    </row>
    <row r="4" spans="1:8" s="11" customFormat="1">
      <c r="A4" s="11" t="s">
        <v>67</v>
      </c>
      <c r="B4" s="11">
        <v>90</v>
      </c>
      <c r="C4" s="11">
        <v>100</v>
      </c>
      <c r="D4" s="11">
        <v>80</v>
      </c>
      <c r="E4" s="11">
        <v>80</v>
      </c>
      <c r="F4" s="11">
        <f t="shared" si="0"/>
        <v>85</v>
      </c>
      <c r="G4" s="12">
        <f t="shared" si="1"/>
        <v>5.95</v>
      </c>
    </row>
    <row r="5" spans="1:8">
      <c r="A5" t="s">
        <v>57</v>
      </c>
      <c r="B5">
        <v>80</v>
      </c>
      <c r="C5">
        <v>80</v>
      </c>
      <c r="D5">
        <v>70</v>
      </c>
      <c r="E5">
        <v>75</v>
      </c>
      <c r="F5">
        <f t="shared" si="0"/>
        <v>74.75</v>
      </c>
      <c r="G5" s="10">
        <f t="shared" si="1"/>
        <v>5.2324999999999999</v>
      </c>
    </row>
    <row r="6" spans="1:8">
      <c r="A6" t="s">
        <v>58</v>
      </c>
      <c r="B6">
        <v>90</v>
      </c>
      <c r="C6">
        <v>100</v>
      </c>
      <c r="D6">
        <v>85</v>
      </c>
      <c r="E6">
        <v>60</v>
      </c>
      <c r="F6">
        <f t="shared" si="0"/>
        <v>79.75</v>
      </c>
      <c r="G6" s="10">
        <f t="shared" si="1"/>
        <v>5.5824999999999996</v>
      </c>
    </row>
    <row r="7" spans="1:8">
      <c r="A7" t="s">
        <v>59</v>
      </c>
      <c r="B7">
        <v>80</v>
      </c>
      <c r="C7">
        <v>80</v>
      </c>
      <c r="D7">
        <v>90</v>
      </c>
      <c r="E7">
        <v>80</v>
      </c>
      <c r="F7">
        <f t="shared" si="0"/>
        <v>83.5</v>
      </c>
      <c r="G7" s="10">
        <f t="shared" si="1"/>
        <v>5.8449999999999998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Sebastián Matías Muñoz Tapia</dc:creator>
  <cp:lastModifiedBy>Sebastián Matías Muñoz Tapia</cp:lastModifiedBy>
  <dcterms:created xsi:type="dcterms:W3CDTF">2025-04-09T22:38:29Z</dcterms:created>
  <dcterms:modified xsi:type="dcterms:W3CDTF">2025-04-24T19:04:08Z</dcterms:modified>
</cp:coreProperties>
</file>